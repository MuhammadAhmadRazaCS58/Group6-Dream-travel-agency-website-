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CT LAB\AICT FINAL\"/>
    </mc:Choice>
  </mc:AlternateContent>
  <xr:revisionPtr revIDLastSave="0" documentId="13_ncr:1_{351C527B-D6D9-4ABF-8501-E5410699C5B9}" xr6:coauthVersionLast="47" xr6:coauthVersionMax="47" xr10:uidLastSave="{00000000-0000-0000-0000-000000000000}"/>
  <bookViews>
    <workbookView xWindow="-110" yWindow="-110" windowWidth="19420" windowHeight="10300" activeTab="2" xr2:uid="{96A2B85D-08C5-4D3F-A306-40D353F36DCC}"/>
  </bookViews>
  <sheets>
    <sheet name="Raw_Data" sheetId="1" r:id="rId1"/>
    <sheet name="Calculation" sheetId="2" r:id="rId2"/>
    <sheet name="Dashboar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  <c r="Q7" i="3"/>
  <c r="Q6" i="3"/>
  <c r="Q5" i="3"/>
  <c r="Q4" i="3" a="1"/>
  <c r="Q4" i="3" s="1"/>
  <c r="I7" i="2"/>
  <c r="I6" i="2"/>
  <c r="I5" i="2"/>
  <c r="I4" i="2"/>
  <c r="I3" i="2" a="1"/>
  <c r="I3" i="2" s="1"/>
  <c r="M8" i="1"/>
  <c r="M4" i="1"/>
  <c r="M3" i="1"/>
  <c r="M5" i="1"/>
  <c r="M6" i="1"/>
  <c r="M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<sst xmlns="http://schemas.openxmlformats.org/spreadsheetml/2006/main" count="49" uniqueCount="36">
  <si>
    <t>Raw Data</t>
  </si>
  <si>
    <t>Pakage No.</t>
  </si>
  <si>
    <t>Destination</t>
  </si>
  <si>
    <t>Duration</t>
  </si>
  <si>
    <t>Package Type</t>
  </si>
  <si>
    <t>Standard</t>
  </si>
  <si>
    <t>Budget</t>
  </si>
  <si>
    <t>International</t>
  </si>
  <si>
    <t>Basic Calculation</t>
  </si>
  <si>
    <t>Description</t>
  </si>
  <si>
    <t>Result</t>
  </si>
  <si>
    <t>Total Packages</t>
  </si>
  <si>
    <t>Total Revenue</t>
  </si>
  <si>
    <t>Average Package Price</t>
  </si>
  <si>
    <t>Price($)</t>
  </si>
  <si>
    <t>Highest Price</t>
  </si>
  <si>
    <t>Lowest Price</t>
  </si>
  <si>
    <t>Season</t>
  </si>
  <si>
    <t>Winter</t>
  </si>
  <si>
    <t>Summer</t>
  </si>
  <si>
    <t>Discount</t>
  </si>
  <si>
    <t>Dashboard</t>
  </si>
  <si>
    <t>Summary Table</t>
  </si>
  <si>
    <t>Pakistan to Tyrkey</t>
  </si>
  <si>
    <t>Pakistan to Dubai</t>
  </si>
  <si>
    <t>Pakistan to Malaysia</t>
  </si>
  <si>
    <t>Pakistan to Europe</t>
  </si>
  <si>
    <t>Lahore to Murree</t>
  </si>
  <si>
    <t>Islamabad to Hunza</t>
  </si>
  <si>
    <t>7 days / 6 Nights</t>
  </si>
  <si>
    <t>5 days / 4 Nights</t>
  </si>
  <si>
    <t>6 days / 5 Nights</t>
  </si>
  <si>
    <t xml:space="preserve">10 days </t>
  </si>
  <si>
    <t>3 days / 2 Nights</t>
  </si>
  <si>
    <t>Popular</t>
  </si>
  <si>
    <t>Best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</si>
</sst>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9" fontId="0" fillId="0" borderId="0" xfId="1" applyFont="1" applyAlignment="1">
      <alignment horizontal="center"/>
    </xf>
    <xf numFmtId="9" fontId="0" fillId="0" borderId="0" xfId="1" applyFont="1"/>
    <xf numFmtId="3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Raw_Data!$I$1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Raw_Data!$H$2:$H$8</c15:sqref>
                  </c15:fullRef>
                </c:ext>
              </c:extLst>
              <c:f>Raw_Data!$H$3:$H$8</c:f>
              <c:strCache>
                <c:ptCount val="6"/>
                <c:pt idx="0">
                  <c:v>Pakistan to Tyrkey</c:v>
                </c:pt>
                <c:pt idx="1">
                  <c:v>Pakistan to Dubai</c:v>
                </c:pt>
                <c:pt idx="2">
                  <c:v>Pakistan to Malaysia</c:v>
                </c:pt>
                <c:pt idx="3">
                  <c:v>Pakistan to Europe</c:v>
                </c:pt>
                <c:pt idx="4">
                  <c:v>Lahore to Murree</c:v>
                </c:pt>
                <c:pt idx="5">
                  <c:v>Islamabad to Hunza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Raw_Data!$I$2:$I$8</c15:sqref>
                  </c15:fullRef>
                </c:ext>
              </c:extLst>
              <c:f>Raw_Data!$I$3:$I$8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604-96AE-C5EE1A61FF92}"/>
            </c:ext>
          </c:extLst>
        </c:ser>
        <c:ser>
          <c:idx val="1"/>
          <c:order val="1"/>
          <c:tx>
            <c:strRef>
              <c:f>Raw_Data!$J$1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Raw_Data!$H$2:$H$8</c15:sqref>
                  </c15:fullRef>
                </c:ext>
              </c:extLst>
              <c:f>Raw_Data!$H$3:$H$8</c:f>
              <c:strCache>
                <c:ptCount val="6"/>
                <c:pt idx="0">
                  <c:v>Pakistan to Tyrkey</c:v>
                </c:pt>
                <c:pt idx="1">
                  <c:v>Pakistan to Dubai</c:v>
                </c:pt>
                <c:pt idx="2">
                  <c:v>Pakistan to Malaysia</c:v>
                </c:pt>
                <c:pt idx="3">
                  <c:v>Pakistan to Europe</c:v>
                </c:pt>
                <c:pt idx="4">
                  <c:v>Lahore to Murree</c:v>
                </c:pt>
                <c:pt idx="5">
                  <c:v>Islamabad to Hunza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Raw_Data!$J$2:$J$8</c15:sqref>
                  </c15:fullRef>
                </c:ext>
              </c:extLst>
              <c:f>Raw_Data!$J$3:$J$8</c:f>
              <c:numCache>
                <c:formatCode>#,##0</c:formatCode>
                <c:ptCount val="6"/>
                <c:pt idx="0">
                  <c:v>1250</c:v>
                </c:pt>
                <c:pt idx="1" formatCode="General">
                  <c:v>950</c:v>
                </c:pt>
                <c:pt idx="2">
                  <c:v>1100</c:v>
                </c:pt>
                <c:pt idx="3">
                  <c:v>2500</c:v>
                </c:pt>
                <c:pt idx="4" formatCode="General">
                  <c:v>150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7-4604-96AE-C5EE1A61F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82045839"/>
        <c:axId val="1782046319"/>
      </c:barChart>
      <c:catAx>
        <c:axId val="178204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46319"/>
        <c:crosses val="autoZero"/>
        <c:auto val="1"/>
        <c:lblAlgn val="ctr"/>
        <c:lblOffset val="100"/>
        <c:noMultiLvlLbl val="0"/>
      </c:catAx>
      <c:valAx>
        <c:axId val="178204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458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12700</xdr:rowOff>
    </xdr:from>
    <xdr:to>
      <xdr:col>13</xdr:col>
      <xdr:colOff>6350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67150-4110-4FA7-8160-0C05431C3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3EC1-77C4-4B3D-B6AC-EC711F583E35}">
  <dimension ref="F1:N9"/>
  <sheetViews>
    <sheetView topLeftCell="B1" workbookViewId="0">
      <selection activeCell="G11" sqref="G11"/>
    </sheetView>
  </sheetViews>
  <sheetFormatPr defaultRowHeight="14.5" x14ac:dyDescent="0.35"/>
  <cols>
    <col min="5" max="5" width="11.1796875" customWidth="1"/>
    <col min="6" max="6" width="3.1796875" customWidth="1"/>
    <col min="7" max="7" width="13.7265625" customWidth="1"/>
    <col min="8" max="8" width="16.26953125" customWidth="1"/>
    <col min="9" max="11" width="13.7265625" customWidth="1"/>
    <col min="12" max="12" width="13.6328125" customWidth="1"/>
    <col min="13" max="13" width="13.7265625" style="4" customWidth="1"/>
    <col min="14" max="14" width="2.90625" customWidth="1"/>
  </cols>
  <sheetData>
    <row r="1" spans="6:14" x14ac:dyDescent="0.35">
      <c r="F1" s="8"/>
      <c r="G1" s="9" t="s">
        <v>0</v>
      </c>
      <c r="H1" s="9"/>
      <c r="I1" s="9"/>
      <c r="J1" s="9"/>
      <c r="K1" s="9"/>
      <c r="L1" s="9"/>
      <c r="M1" s="9"/>
      <c r="N1" s="7"/>
    </row>
    <row r="2" spans="6:14" ht="19" customHeight="1" x14ac:dyDescent="0.35">
      <c r="F2" s="8"/>
      <c r="G2" s="1" t="s">
        <v>1</v>
      </c>
      <c r="H2" s="1" t="s">
        <v>2</v>
      </c>
      <c r="I2" s="1" t="s">
        <v>3</v>
      </c>
      <c r="J2" s="1" t="s">
        <v>14</v>
      </c>
      <c r="K2" s="1" t="s">
        <v>4</v>
      </c>
      <c r="L2" s="1" t="s">
        <v>17</v>
      </c>
      <c r="M2" s="3" t="s">
        <v>20</v>
      </c>
      <c r="N2" s="7"/>
    </row>
    <row r="3" spans="6:14" ht="19" customHeight="1" x14ac:dyDescent="0.35">
      <c r="F3" s="8"/>
      <c r="G3">
        <v>1</v>
      </c>
      <c r="H3" t="s">
        <v>23</v>
      </c>
      <c r="I3" t="s">
        <v>29</v>
      </c>
      <c r="J3" s="5">
        <v>1250</v>
      </c>
      <c r="K3" t="s">
        <v>5</v>
      </c>
      <c r="L3" s="1" t="s">
        <v>18</v>
      </c>
      <c r="M3" s="4" t="str">
        <f>IF(L3="Summer","20%","0%")</f>
        <v>0%</v>
      </c>
      <c r="N3" s="7"/>
    </row>
    <row r="4" spans="6:14" ht="19" customHeight="1" x14ac:dyDescent="0.35">
      <c r="F4" s="8"/>
      <c r="G4">
        <v>2</v>
      </c>
      <c r="H4" t="s">
        <v>24</v>
      </c>
      <c r="I4" t="s">
        <v>30</v>
      </c>
      <c r="J4">
        <v>950</v>
      </c>
      <c r="K4" t="s">
        <v>34</v>
      </c>
      <c r="L4" s="1" t="s">
        <v>18</v>
      </c>
      <c r="M4" s="4" t="str">
        <f>IF(L4="Summer","20%","0%")</f>
        <v>0%</v>
      </c>
      <c r="N4" s="7"/>
    </row>
    <row r="5" spans="6:14" ht="19" customHeight="1" x14ac:dyDescent="0.35">
      <c r="F5" s="8"/>
      <c r="G5">
        <v>3</v>
      </c>
      <c r="H5" t="s">
        <v>25</v>
      </c>
      <c r="I5" t="s">
        <v>31</v>
      </c>
      <c r="J5" s="5">
        <v>1100</v>
      </c>
      <c r="K5" t="s">
        <v>6</v>
      </c>
      <c r="L5" s="1" t="s">
        <v>18</v>
      </c>
      <c r="M5" s="4" t="str">
        <f t="shared" ref="M5:M8" si="0">IF(L5="Summer","20%","0%")</f>
        <v>0%</v>
      </c>
      <c r="N5" s="7"/>
    </row>
    <row r="6" spans="6:14" ht="19" customHeight="1" x14ac:dyDescent="0.35">
      <c r="F6" s="8"/>
      <c r="G6">
        <v>4</v>
      </c>
      <c r="H6" t="s">
        <v>26</v>
      </c>
      <c r="I6" t="s">
        <v>32</v>
      </c>
      <c r="J6" s="5">
        <v>2500</v>
      </c>
      <c r="K6" t="s">
        <v>7</v>
      </c>
      <c r="L6" s="1" t="s">
        <v>19</v>
      </c>
      <c r="M6" s="4" t="str">
        <f t="shared" si="0"/>
        <v>20%</v>
      </c>
      <c r="N6" s="7"/>
    </row>
    <row r="7" spans="6:14" ht="19" customHeight="1" x14ac:dyDescent="0.35">
      <c r="F7" s="8"/>
      <c r="G7">
        <v>5</v>
      </c>
      <c r="H7" t="s">
        <v>27</v>
      </c>
      <c r="I7" t="s">
        <v>33</v>
      </c>
      <c r="J7">
        <v>150</v>
      </c>
      <c r="K7" t="s">
        <v>6</v>
      </c>
      <c r="L7" s="1" t="s">
        <v>19</v>
      </c>
      <c r="M7" s="4" t="str">
        <f t="shared" si="0"/>
        <v>20%</v>
      </c>
      <c r="N7" s="7"/>
    </row>
    <row r="8" spans="6:14" ht="19" customHeight="1" x14ac:dyDescent="0.35">
      <c r="F8" s="2"/>
      <c r="G8">
        <v>6</v>
      </c>
      <c r="H8" t="s">
        <v>28</v>
      </c>
      <c r="I8" t="s">
        <v>31</v>
      </c>
      <c r="J8" s="5">
        <v>250</v>
      </c>
      <c r="K8" t="s">
        <v>35</v>
      </c>
      <c r="L8" s="1" t="s">
        <v>19</v>
      </c>
      <c r="M8" s="4" t="str">
        <f t="shared" si="0"/>
        <v>20%</v>
      </c>
      <c r="N8" s="7"/>
    </row>
    <row r="9" spans="6:14" ht="12" customHeight="1" x14ac:dyDescent="0.35">
      <c r="F9" s="6"/>
      <c r="G9" s="10"/>
      <c r="H9" s="10"/>
      <c r="I9" s="10"/>
      <c r="J9" s="10"/>
      <c r="K9" s="10"/>
      <c r="L9" s="10"/>
      <c r="M9" s="10"/>
      <c r="N9" s="6"/>
    </row>
  </sheetData>
  <mergeCells count="4">
    <mergeCell ref="N1:N8"/>
    <mergeCell ref="F1:F7"/>
    <mergeCell ref="G1:M1"/>
    <mergeCell ref="G9:M9"/>
  </mergeCells>
  <conditionalFormatting sqref="L3">
    <cfRule type="expression" dxfId="7" priority="6">
      <formula>M3="20%"</formula>
    </cfRule>
  </conditionalFormatting>
  <conditionalFormatting sqref="M1:M8 M10:M1048576">
    <cfRule type="cellIs" dxfId="6" priority="3" operator="equal">
      <formula>0.2</formula>
    </cfRule>
    <cfRule type="cellIs" dxfId="5" priority="9" operator="equal">
      <formula>0.2</formula>
    </cfRule>
    <cfRule type="cellIs" dxfId="4" priority="10" operator="equal">
      <formula>20</formula>
    </cfRule>
    <cfRule type="cellIs" dxfId="3" priority="11" operator="equal">
      <formula>0.2</formula>
    </cfRule>
  </conditionalFormatting>
  <conditionalFormatting sqref="M1:M8">
    <cfRule type="cellIs" dxfId="2" priority="7" operator="equal">
      <formula>0.2</formula>
    </cfRule>
  </conditionalFormatting>
  <conditionalFormatting sqref="M3:M8">
    <cfRule type="expression" dxfId="1" priority="1">
      <formula>$M3="20%"</formula>
    </cfRule>
  </conditionalFormatting>
  <conditionalFormatting sqref="M7:M8">
    <cfRule type="expression" dxfId="0" priority="4">
      <formula>M3:M7="20%"</formula>
    </cfRule>
  </conditionalFormatting>
  <dataValidations count="1">
    <dataValidation type="list" allowBlank="1" showInputMessage="1" showErrorMessage="1" sqref="L2:L8" xr:uid="{E9F6FF25-DD6F-4C6C-879B-BCEC01A0CECD}">
      <formula1>"Summer, Winter"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427A-ECDC-46F2-8893-944286D6E3D8}">
  <dimension ref="F1:K8"/>
  <sheetViews>
    <sheetView workbookViewId="0">
      <selection activeCell="G8" sqref="G8:J8"/>
    </sheetView>
  </sheetViews>
  <sheetFormatPr defaultRowHeight="14.5" x14ac:dyDescent="0.35"/>
  <cols>
    <col min="6" max="6" width="2.90625" customWidth="1"/>
    <col min="8" max="8" width="12.6328125" customWidth="1"/>
    <col min="10" max="10" width="12.54296875" customWidth="1"/>
    <col min="11" max="11" width="2.6328125" customWidth="1"/>
  </cols>
  <sheetData>
    <row r="1" spans="6:11" ht="21" x14ac:dyDescent="0.5">
      <c r="F1" s="7"/>
      <c r="G1" s="13" t="s">
        <v>8</v>
      </c>
      <c r="H1" s="13"/>
      <c r="I1" s="13"/>
      <c r="J1" s="13"/>
      <c r="K1" s="7"/>
    </row>
    <row r="2" spans="6:11" ht="19" customHeight="1" x14ac:dyDescent="0.35">
      <c r="F2" s="7"/>
      <c r="G2" s="11" t="s">
        <v>9</v>
      </c>
      <c r="H2" s="11"/>
      <c r="I2" s="11" t="s">
        <v>10</v>
      </c>
      <c r="J2" s="11"/>
      <c r="K2" s="7"/>
    </row>
    <row r="3" spans="6:11" ht="19" customHeight="1" x14ac:dyDescent="0.35">
      <c r="F3" s="7"/>
      <c r="G3" s="11" t="s">
        <v>11</v>
      </c>
      <c r="H3" s="11"/>
      <c r="I3" s="11" cm="1">
        <f t="array" ref="I3">COUNTA(Raw-[1]Data!G3:G8)</f>
        <v>6</v>
      </c>
      <c r="J3" s="11"/>
      <c r="K3" s="7"/>
    </row>
    <row r="4" spans="6:11" ht="19" customHeight="1" x14ac:dyDescent="0.35">
      <c r="F4" s="7"/>
      <c r="G4" s="11" t="s">
        <v>12</v>
      </c>
      <c r="H4" s="11"/>
      <c r="I4" s="12">
        <f>SUM(Raw_Data!J3:J8)</f>
        <v>6200</v>
      </c>
      <c r="J4" s="11"/>
      <c r="K4" s="7"/>
    </row>
    <row r="5" spans="6:11" ht="19.5" customHeight="1" x14ac:dyDescent="0.35">
      <c r="F5" s="7"/>
      <c r="G5" s="11" t="s">
        <v>13</v>
      </c>
      <c r="H5" s="11"/>
      <c r="I5" s="12">
        <f>AVERAGE(Raw_Data!J3:J8)</f>
        <v>1033.3333333333333</v>
      </c>
      <c r="J5" s="11"/>
      <c r="K5" s="7"/>
    </row>
    <row r="6" spans="6:11" ht="19" customHeight="1" x14ac:dyDescent="0.35">
      <c r="F6" s="7"/>
      <c r="G6" s="11" t="s">
        <v>15</v>
      </c>
      <c r="H6" s="11"/>
      <c r="I6" s="12">
        <f>MAX(Raw_Data!J3:J8)</f>
        <v>2500</v>
      </c>
      <c r="J6" s="11"/>
      <c r="K6" s="7"/>
    </row>
    <row r="7" spans="6:11" ht="19" customHeight="1" x14ac:dyDescent="0.35">
      <c r="F7" s="7"/>
      <c r="G7" s="11" t="s">
        <v>16</v>
      </c>
      <c r="H7" s="11"/>
      <c r="I7" s="12">
        <f>MIN(Raw_Data!J3:J8)</f>
        <v>150</v>
      </c>
      <c r="J7" s="11"/>
      <c r="K7" s="7"/>
    </row>
    <row r="8" spans="6:11" x14ac:dyDescent="0.35">
      <c r="F8" s="7"/>
      <c r="G8" s="7"/>
      <c r="H8" s="7"/>
      <c r="I8" s="7"/>
      <c r="J8" s="7"/>
      <c r="K8" s="7"/>
    </row>
  </sheetData>
  <mergeCells count="16">
    <mergeCell ref="F1:F8"/>
    <mergeCell ref="K1:K8"/>
    <mergeCell ref="G8:J8"/>
    <mergeCell ref="G6:H6"/>
    <mergeCell ref="G7:H7"/>
    <mergeCell ref="I3:J3"/>
    <mergeCell ref="I4:J4"/>
    <mergeCell ref="I5:J5"/>
    <mergeCell ref="I6:J6"/>
    <mergeCell ref="I7:J7"/>
    <mergeCell ref="G1:J1"/>
    <mergeCell ref="G2:H2"/>
    <mergeCell ref="I2:J2"/>
    <mergeCell ref="G3:H3"/>
    <mergeCell ref="G4:H4"/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8688-BE00-4DCB-913A-2E884F6F2875}">
  <dimension ref="F2:R26"/>
  <sheetViews>
    <sheetView tabSelected="1" workbookViewId="0">
      <selection activeCell="P15" sqref="P15"/>
    </sheetView>
  </sheetViews>
  <sheetFormatPr defaultRowHeight="14.5" x14ac:dyDescent="0.35"/>
  <cols>
    <col min="6" max="6" width="10.453125" customWidth="1"/>
    <col min="14" max="14" width="8.81640625" customWidth="1"/>
    <col min="15" max="15" width="10.453125" customWidth="1"/>
  </cols>
  <sheetData>
    <row r="2" spans="6:18" ht="21" x14ac:dyDescent="0.5">
      <c r="F2" s="14" t="s">
        <v>21</v>
      </c>
      <c r="G2" s="13"/>
      <c r="H2" s="13"/>
      <c r="I2" s="13"/>
      <c r="J2" s="13"/>
      <c r="K2" s="13"/>
      <c r="L2" s="13"/>
      <c r="M2" s="13"/>
      <c r="O2" s="13" t="s">
        <v>22</v>
      </c>
      <c r="P2" s="13"/>
      <c r="Q2" s="13"/>
      <c r="R2" s="13"/>
    </row>
    <row r="3" spans="6:18" x14ac:dyDescent="0.35">
      <c r="O3" s="11" t="s">
        <v>9</v>
      </c>
      <c r="P3" s="11"/>
      <c r="Q3" s="11" t="s">
        <v>10</v>
      </c>
      <c r="R3" s="11"/>
    </row>
    <row r="4" spans="6:18" x14ac:dyDescent="0.35">
      <c r="O4" s="11" t="s">
        <v>11</v>
      </c>
      <c r="P4" s="11"/>
      <c r="Q4" s="11" cm="1">
        <f t="array" ref="Q4">COUNTA(Raw-[1]Data!G3:G8)</f>
        <v>6</v>
      </c>
      <c r="R4" s="11"/>
    </row>
    <row r="5" spans="6:18" x14ac:dyDescent="0.35">
      <c r="O5" s="11" t="s">
        <v>12</v>
      </c>
      <c r="P5" s="11"/>
      <c r="Q5" s="12">
        <f>SUM(Raw_Data!J3:J8)</f>
        <v>6200</v>
      </c>
      <c r="R5" s="11"/>
    </row>
    <row r="6" spans="6:18" x14ac:dyDescent="0.35">
      <c r="O6" s="11" t="s">
        <v>13</v>
      </c>
      <c r="P6" s="11"/>
      <c r="Q6" s="12">
        <f>AVERAGE(Raw_Data!J3:J8)</f>
        <v>1033.3333333333333</v>
      </c>
      <c r="R6" s="11"/>
    </row>
    <row r="7" spans="6:18" x14ac:dyDescent="0.35">
      <c r="O7" s="11" t="s">
        <v>15</v>
      </c>
      <c r="P7" s="11"/>
      <c r="Q7" s="12">
        <f>MAX(Raw_Data!J3:J8)</f>
        <v>2500</v>
      </c>
      <c r="R7" s="11"/>
    </row>
    <row r="8" spans="6:18" x14ac:dyDescent="0.35">
      <c r="O8" s="11" t="s">
        <v>16</v>
      </c>
      <c r="P8" s="11"/>
      <c r="Q8" s="12">
        <f>MIN(Raw_Data!J3:J8)</f>
        <v>150</v>
      </c>
      <c r="R8" s="11"/>
    </row>
    <row r="21" ht="14.5" customHeight="1" x14ac:dyDescent="0.35"/>
    <row r="22" ht="14.5" customHeight="1" x14ac:dyDescent="0.35"/>
    <row r="23" ht="14.5" customHeight="1" x14ac:dyDescent="0.35"/>
    <row r="24" ht="14.5" customHeight="1" x14ac:dyDescent="0.35"/>
    <row r="25" ht="14.5" customHeight="1" x14ac:dyDescent="0.35"/>
    <row r="26" ht="14.5" customHeight="1" x14ac:dyDescent="0.35"/>
  </sheetData>
  <mergeCells count="14">
    <mergeCell ref="F2:M2"/>
    <mergeCell ref="O2:R2"/>
    <mergeCell ref="O5:P5"/>
    <mergeCell ref="Q5:R5"/>
    <mergeCell ref="O6:P6"/>
    <mergeCell ref="Q6:R6"/>
    <mergeCell ref="O8:P8"/>
    <mergeCell ref="Q8:R8"/>
    <mergeCell ref="Q4:R4"/>
    <mergeCell ref="O4:P4"/>
    <mergeCell ref="Q3:R3"/>
    <mergeCell ref="O3:P3"/>
    <mergeCell ref="O7:P7"/>
    <mergeCell ref="Q7:R7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Aleem</dc:creator>
  <cp:lastModifiedBy>Awais Aleem</cp:lastModifiedBy>
  <dcterms:created xsi:type="dcterms:W3CDTF">2025-12-29T04:10:45Z</dcterms:created>
  <dcterms:modified xsi:type="dcterms:W3CDTF">2026-01-04T10:57:24Z</dcterms:modified>
</cp:coreProperties>
</file>